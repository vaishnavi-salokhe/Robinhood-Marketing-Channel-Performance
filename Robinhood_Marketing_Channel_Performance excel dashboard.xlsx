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fc88fdd0a9e15b5/Desktop/data analysis/Projects/marketing-channel-performance-datasets/marketing-channel-performance/"/>
    </mc:Choice>
  </mc:AlternateContent>
  <xr:revisionPtr revIDLastSave="1" documentId="8_{E376A372-FC1F-4E16-8552-09A2C960F809}" xr6:coauthVersionLast="47" xr6:coauthVersionMax="47" xr10:uidLastSave="{D1C3A99D-E89B-4666-88B6-5419079836AE}"/>
  <bookViews>
    <workbookView xWindow="11424" yWindow="0" windowWidth="11712" windowHeight="13776" xr2:uid="{763D420E-2A6C-4C7B-B303-D86D1EBAEDC9}"/>
  </bookViews>
  <sheets>
    <sheet name="Analysis_Data" sheetId="3" r:id="rId1"/>
    <sheet name="Dashboard" sheetId="2" r:id="rId2"/>
  </sheets>
  <definedNames>
    <definedName name="ExternalData_1" localSheetId="0" hidden="1">Analysis_Data!$A$1:$M$9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3" l="1"/>
  <c r="J4" i="2"/>
  <c r="G4" i="2"/>
  <c r="D4" i="2"/>
  <c r="A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23866E-383B-4208-A2B6-A6E0A9246183}" keepAlive="1" name="Query - 07_channel_campaign_performance" description="Connection to the '07_channel_campaign_performance' query in the workbook." type="5" refreshedVersion="8" background="1" saveData="1">
    <dbPr connection="Provider=Microsoft.Mashup.OleDb.1;Data Source=$Workbook$;Location=07_channel_campaign_performance;Extended Properties=&quot;&quot;" command="SELECT * FROM [07_channel_campaign_performance]"/>
  </connection>
</connections>
</file>

<file path=xl/sharedStrings.xml><?xml version="1.0" encoding="utf-8"?>
<sst xmlns="http://schemas.openxmlformats.org/spreadsheetml/2006/main" count="58" uniqueCount="50">
  <si>
    <t>channel</t>
  </si>
  <si>
    <t>campaign</t>
  </si>
  <si>
    <t>signups</t>
  </si>
  <si>
    <t>paying_customers</t>
  </si>
  <si>
    <t>revenue_90_days</t>
  </si>
  <si>
    <t>impressions</t>
  </si>
  <si>
    <t>clicks</t>
  </si>
  <si>
    <t>spend</t>
  </si>
  <si>
    <t>ctr_percent</t>
  </si>
  <si>
    <t>cpc</t>
  </si>
  <si>
    <t>cac</t>
  </si>
  <si>
    <t>paying_conversion_percent</t>
  </si>
  <si>
    <t>roas</t>
  </si>
  <si>
    <t>paid_search</t>
  </si>
  <si>
    <t>brand_search</t>
  </si>
  <si>
    <t>4.52</t>
  </si>
  <si>
    <t>0.84</t>
  </si>
  <si>
    <t>1.90</t>
  </si>
  <si>
    <t>paid_social</t>
  </si>
  <si>
    <t>retargeting</t>
  </si>
  <si>
    <t>1.59</t>
  </si>
  <si>
    <t>0.75</t>
  </si>
  <si>
    <t>1.33</t>
  </si>
  <si>
    <t>generic_search</t>
  </si>
  <si>
    <t>2.47</t>
  </si>
  <si>
    <t>1.62</t>
  </si>
  <si>
    <t>0.47</t>
  </si>
  <si>
    <t>affiliate</t>
  </si>
  <si>
    <t>finance_blogs</t>
  </si>
  <si>
    <t>1.10</t>
  </si>
  <si>
    <t>1.99</t>
  </si>
  <si>
    <t>0.41</t>
  </si>
  <si>
    <t>prospecting_video</t>
  </si>
  <si>
    <t>1.20</t>
  </si>
  <si>
    <t>0.50</t>
  </si>
  <si>
    <t>0.26</t>
  </si>
  <si>
    <t>display</t>
  </si>
  <si>
    <t>display_network</t>
  </si>
  <si>
    <t>0.12</t>
  </si>
  <si>
    <t>2.10</t>
  </si>
  <si>
    <t>0.03</t>
  </si>
  <si>
    <t>organic</t>
  </si>
  <si>
    <t>organic_or_referral</t>
  </si>
  <si>
    <t>NULL</t>
  </si>
  <si>
    <t>referral</t>
  </si>
  <si>
    <t>Robinhood Marketing Channel Performance</t>
  </si>
  <si>
    <t>Total Signups</t>
  </si>
  <si>
    <t>Paying Customers</t>
  </si>
  <si>
    <t>Revenue (90 Days)</t>
  </si>
  <si>
    <t>Ad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</si>
</sst>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2" fillId="0" borderId="0" xfId="0" applyFont="1"/>
    <xf numFmtId="0" fontId="1" fillId="2" borderId="0" xfId="0" applyFont="1" applyFill="1"/>
    <xf numFmtId="169" fontId="1" fillId="2" borderId="0" xfId="0" applyNumberFormat="1" applyFont="1" applyFill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Signups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Analysis_Data!$C$1</c:f>
              <c:strCache>
                <c:ptCount val="1"/>
                <c:pt idx="0">
                  <c:v>signups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Analysis_Data!$A$2:$A$9</c:f>
              <c:strCache>
                <c:ptCount val="8"/>
                <c:pt idx="0">
                  <c:v>paid_search</c:v>
                </c:pt>
                <c:pt idx="1">
                  <c:v>paid_social</c:v>
                </c:pt>
                <c:pt idx="2">
                  <c:v>paid_search</c:v>
                </c:pt>
                <c:pt idx="3">
                  <c:v>affiliate</c:v>
                </c:pt>
                <c:pt idx="4">
                  <c:v>paid_social</c:v>
                </c:pt>
                <c:pt idx="5">
                  <c:v>display</c:v>
                </c:pt>
                <c:pt idx="6">
                  <c:v>organic</c:v>
                </c:pt>
                <c:pt idx="7">
                  <c:v>referral</c:v>
                </c:pt>
              </c:strCache>
            </c:strRef>
          </c:cat>
          <c:val>
            <c:numRef>
              <c:f>Analysis_Data!$C$2:$C$9</c:f>
              <c:numCache>
                <c:formatCode>General</c:formatCode>
                <c:ptCount val="8"/>
                <c:pt idx="0">
                  <c:v>2177</c:v>
                </c:pt>
                <c:pt idx="1">
                  <c:v>2465</c:v>
                </c:pt>
                <c:pt idx="2">
                  <c:v>2008</c:v>
                </c:pt>
                <c:pt idx="3">
                  <c:v>864</c:v>
                </c:pt>
                <c:pt idx="4">
                  <c:v>6484</c:v>
                </c:pt>
                <c:pt idx="5">
                  <c:v>268</c:v>
                </c:pt>
                <c:pt idx="6">
                  <c:v>3511</c:v>
                </c:pt>
                <c:pt idx="7">
                  <c:v>1063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D-4445-8D3E-C9E7BB808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07916927"/>
        <c:axId val="560641904"/>
      </c:barChart>
      <c:catAx>
        <c:axId val="18079169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41904"/>
        <c:crosses val="autoZero"/>
        <c:auto val="1"/>
        <c:lblAlgn val="ctr"/>
        <c:lblOffset val="100"/>
        <c:noMultiLvlLbl val="0"/>
      </c:catAx>
      <c:valAx>
        <c:axId val="560641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1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Analysis_Data!$E$1</c:f>
              <c:strCache>
                <c:ptCount val="1"/>
                <c:pt idx="0">
                  <c:v>revenue_90_days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Analysis_Data!$B$2:$B$9</c:f>
              <c:strCache>
                <c:ptCount val="8"/>
                <c:pt idx="0">
                  <c:v>brand_search</c:v>
                </c:pt>
                <c:pt idx="1">
                  <c:v>retargeting</c:v>
                </c:pt>
                <c:pt idx="2">
                  <c:v>generic_search</c:v>
                </c:pt>
                <c:pt idx="3">
                  <c:v>finance_blogs</c:v>
                </c:pt>
                <c:pt idx="4">
                  <c:v>prospecting_video</c:v>
                </c:pt>
                <c:pt idx="5">
                  <c:v>display_network</c:v>
                </c:pt>
                <c:pt idx="6">
                  <c:v>organic_or_referral</c:v>
                </c:pt>
                <c:pt idx="7">
                  <c:v>organic_or_referral</c:v>
                </c:pt>
              </c:strCache>
            </c:strRef>
          </c:cat>
          <c:val>
            <c:numRef>
              <c:f>Analysis_Data!$E$2:$E$9</c:f>
              <c:numCache>
                <c:formatCode>General</c:formatCode>
                <c:ptCount val="8"/>
                <c:pt idx="0">
                  <c:v>19470.18</c:v>
                </c:pt>
                <c:pt idx="1">
                  <c:v>17411.400000000001</c:v>
                </c:pt>
                <c:pt idx="2">
                  <c:v>16940.61</c:v>
                </c:pt>
                <c:pt idx="3">
                  <c:v>6316.41</c:v>
                </c:pt>
                <c:pt idx="4">
                  <c:v>8765.43</c:v>
                </c:pt>
                <c:pt idx="5">
                  <c:v>539.88</c:v>
                </c:pt>
                <c:pt idx="6">
                  <c:v>14472.8</c:v>
                </c:pt>
                <c:pt idx="7">
                  <c:v>9475.56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8-4817-BAC3-BBB8F0799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110691007"/>
        <c:axId val="560604944"/>
      </c:barChart>
      <c:catAx>
        <c:axId val="21106910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04944"/>
        <c:crosses val="autoZero"/>
        <c:auto val="1"/>
        <c:lblAlgn val="ctr"/>
        <c:lblOffset val="100"/>
        <c:noMultiLvlLbl val="0"/>
      </c:catAx>
      <c:valAx>
        <c:axId val="5606049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9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70556</xdr:colOff>
      <xdr:row>8</xdr:row>
      <xdr:rowOff>109795</xdr:rowOff>
    </xdr:from>
    <xdr:to>
      <xdr:col>7</xdr:col>
      <xdr:colOff>228059</xdr:colOff>
      <xdr:row>23</xdr:row>
      <xdr:rowOff>108119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A0C41-10A3-9D05-0118-49B585D07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557533</xdr:colOff>
      <xdr:row>8</xdr:row>
      <xdr:rowOff>122377</xdr:rowOff>
    </xdr:from>
    <xdr:to>
      <xdr:col>15</xdr:col>
      <xdr:colOff>47678</xdr:colOff>
      <xdr:row>23</xdr:row>
      <xdr:rowOff>100173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BB80CF-FE9E-3A10-D3F7-1BE44DAEE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5E0520-4BE5-4F3A-9D28-14F01104B491}" autoFormatId="16" applyNumberFormats="0" applyBorderFormats="0" applyFontFormats="0" applyPatternFormats="0" applyAlignmentFormats="0" applyWidthHeightFormats="0">
  <queryTableRefresh nextId="14">
    <queryTableFields count="13">
      <queryTableField id="1" name="channel" tableColumnId="1"/>
      <queryTableField id="2" name="campaign" tableColumnId="2"/>
      <queryTableField id="3" name="signups" tableColumnId="3"/>
      <queryTableField id="4" name="paying_customers" tableColumnId="4"/>
      <queryTableField id="5" name="revenue_90_days" tableColumnId="5"/>
      <queryTableField id="6" name="impressions" tableColumnId="6"/>
      <queryTableField id="7" name="clicks" tableColumnId="7"/>
      <queryTableField id="8" name="spend" tableColumnId="8"/>
      <queryTableField id="9" name="ctr_percent" tableColumnId="9"/>
      <queryTableField id="10" name="cpc" tableColumnId="10"/>
      <queryTableField id="11" name="cac" tableColumnId="11"/>
      <queryTableField id="12" name="paying_conversion_percent" tableColumnId="12"/>
      <queryTableField id="13" name="roa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6830F-FFE6-49BD-8292-9376B98F9C1F}" name="_07_channel_campaign_performance" displayName="_07_channel_campaign_performance" ref="A1:M10" tableType="queryTable" totalsRowCount="1">
  <autoFilter ref="A1:M9" xr:uid="{16F6830F-FFE6-49BD-8292-9376B98F9C1F}"/>
  <tableColumns count="13">
    <tableColumn id="1" xr3:uid="{520F045D-B3DE-4F0D-B6A0-2CE3AB6A21EF}" uniqueName="1" name="channel" queryTableFieldId="1" dataDxfId="9" totalsRowDxfId="4"/>
    <tableColumn id="2" xr3:uid="{D2A6D8ED-43CC-4F79-9762-87DBF4B28EFC}" uniqueName="2" name="campaign" queryTableFieldId="2" dataDxfId="8" totalsRowDxfId="3"/>
    <tableColumn id="3" xr3:uid="{4F70467E-51EB-4112-BC73-F4CA2F66E4E4}" uniqueName="3" name="signups" queryTableFieldId="3"/>
    <tableColumn id="4" xr3:uid="{A81B8E0D-FB40-4D2E-ABF8-59EDFD07635F}" uniqueName="4" name="paying_customers" queryTableFieldId="4"/>
    <tableColumn id="5" xr3:uid="{527B1031-8646-4C1E-AAAD-C486CA42C600}" uniqueName="5" name="revenue_90_days" queryTableFieldId="5"/>
    <tableColumn id="6" xr3:uid="{2C89C5BC-50AD-4595-B9C7-3AD4F70C4854}" uniqueName="6" name="impressions" queryTableFieldId="6"/>
    <tableColumn id="7" xr3:uid="{258F73F8-A0B9-4D3A-967A-64AD2097D09E}" uniqueName="7" name="clicks" queryTableFieldId="7"/>
    <tableColumn id="8" xr3:uid="{677461F4-FA87-44EF-A16C-F14DB52134B9}" uniqueName="8" name="spend" totalsRowFunction="custom" queryTableFieldId="8">
      <totalsRowFormula>SUM(H2:H9)</totalsRowFormula>
    </tableColumn>
    <tableColumn id="9" xr3:uid="{0644B20F-215A-4407-9F51-E80B87F850A8}" uniqueName="9" name="ctr_percent" queryTableFieldId="9" dataDxfId="7" totalsRowDxfId="2"/>
    <tableColumn id="10" xr3:uid="{FC0D8BBA-A964-4209-8BDF-D5D8D4B6B294}" uniqueName="10" name="cpc" queryTableFieldId="10" dataDxfId="6" totalsRowDxfId="1"/>
    <tableColumn id="11" xr3:uid="{F1D7B97A-B88D-4E3D-99AB-1A0729C76618}" uniqueName="11" name="cac" queryTableFieldId="11"/>
    <tableColumn id="12" xr3:uid="{574542F3-6EFC-4F09-AEB1-0329DCC3188A}" uniqueName="12" name="paying_conversion_percent" queryTableFieldId="12"/>
    <tableColumn id="13" xr3:uid="{DF379658-6D78-46AD-8F22-F896DD5B4256}" uniqueName="13" name="roas" queryTableFieldId="13" dataDxfId="5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AE1E-D251-438A-BC37-3DC8C1E5874D}">
  <dimension ref="A1:M10"/>
  <sheetViews>
    <sheetView tabSelected="1" zoomScale="71" workbookViewId="0">
      <selection activeCell="H11" sqref="H11"/>
    </sheetView>
  </sheetViews>
  <sheetFormatPr defaultRowHeight="14.4"/>
  <cols>
    <col min="1" max="1" width="10.77734375" bestFit="1" customWidth="1"/>
    <col min="2" max="2" width="17" bestFit="1" customWidth="1"/>
    <col min="3" max="3" width="9.5546875" bestFit="1" customWidth="1"/>
    <col min="4" max="4" width="18.6640625" bestFit="1" customWidth="1"/>
    <col min="5" max="5" width="18.109375" bestFit="1" customWidth="1"/>
    <col min="6" max="6" width="13.109375" bestFit="1" customWidth="1"/>
    <col min="7" max="7" width="7.6640625" bestFit="1" customWidth="1"/>
    <col min="8" max="8" width="9" bestFit="1" customWidth="1"/>
    <col min="9" max="9" width="12.88671875" bestFit="1" customWidth="1"/>
    <col min="10" max="10" width="6.109375" bestFit="1" customWidth="1"/>
    <col min="11" max="11" width="8" bestFit="1" customWidth="1"/>
    <col min="12" max="12" width="26.88671875" bestFit="1" customWidth="1"/>
    <col min="13" max="13" width="6.77734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>
        <v>2177</v>
      </c>
      <c r="D2">
        <v>465</v>
      </c>
      <c r="E2">
        <v>19470.18</v>
      </c>
      <c r="F2">
        <v>269367</v>
      </c>
      <c r="G2">
        <v>12173</v>
      </c>
      <c r="H2">
        <v>10255.73</v>
      </c>
      <c r="I2" s="1" t="s">
        <v>15</v>
      </c>
      <c r="J2" s="1" t="s">
        <v>16</v>
      </c>
      <c r="K2">
        <v>22.06</v>
      </c>
      <c r="L2">
        <v>21.36</v>
      </c>
      <c r="M2" s="1" t="s">
        <v>17</v>
      </c>
    </row>
    <row r="3" spans="1:13">
      <c r="A3" s="1" t="s">
        <v>18</v>
      </c>
      <c r="B3" s="1" t="s">
        <v>19</v>
      </c>
      <c r="C3">
        <v>2465</v>
      </c>
      <c r="D3">
        <v>418</v>
      </c>
      <c r="E3">
        <v>17411.400000000001</v>
      </c>
      <c r="F3">
        <v>1092376</v>
      </c>
      <c r="G3">
        <v>17373</v>
      </c>
      <c r="H3">
        <v>13069.49</v>
      </c>
      <c r="I3" s="1" t="s">
        <v>20</v>
      </c>
      <c r="J3" s="1" t="s">
        <v>21</v>
      </c>
      <c r="K3">
        <v>31.27</v>
      </c>
      <c r="L3">
        <v>16.96</v>
      </c>
      <c r="M3" s="1" t="s">
        <v>22</v>
      </c>
    </row>
    <row r="4" spans="1:13">
      <c r="A4" s="1" t="s">
        <v>13</v>
      </c>
      <c r="B4" s="1" t="s">
        <v>23</v>
      </c>
      <c r="C4">
        <v>2008</v>
      </c>
      <c r="D4">
        <v>432</v>
      </c>
      <c r="E4">
        <v>16940.61</v>
      </c>
      <c r="F4">
        <v>902920</v>
      </c>
      <c r="G4">
        <v>22270</v>
      </c>
      <c r="H4">
        <v>36123.97</v>
      </c>
      <c r="I4" s="1" t="s">
        <v>24</v>
      </c>
      <c r="J4" s="1" t="s">
        <v>25</v>
      </c>
      <c r="K4">
        <v>83.62</v>
      </c>
      <c r="L4">
        <v>21.51</v>
      </c>
      <c r="M4" s="1" t="s">
        <v>26</v>
      </c>
    </row>
    <row r="5" spans="1:13">
      <c r="A5" s="1" t="s">
        <v>27</v>
      </c>
      <c r="B5" s="1" t="s">
        <v>28</v>
      </c>
      <c r="C5">
        <v>864</v>
      </c>
      <c r="D5">
        <v>162</v>
      </c>
      <c r="E5">
        <v>6316.41</v>
      </c>
      <c r="F5">
        <v>710919</v>
      </c>
      <c r="G5">
        <v>7794</v>
      </c>
      <c r="H5">
        <v>15489.1</v>
      </c>
      <c r="I5" s="1" t="s">
        <v>29</v>
      </c>
      <c r="J5" s="1" t="s">
        <v>30</v>
      </c>
      <c r="K5">
        <v>95.61</v>
      </c>
      <c r="L5">
        <v>18.75</v>
      </c>
      <c r="M5" s="1" t="s">
        <v>31</v>
      </c>
    </row>
    <row r="6" spans="1:13">
      <c r="A6" s="1" t="s">
        <v>18</v>
      </c>
      <c r="B6" s="1" t="s">
        <v>32</v>
      </c>
      <c r="C6">
        <v>6484</v>
      </c>
      <c r="D6">
        <v>213</v>
      </c>
      <c r="E6">
        <v>8765.43</v>
      </c>
      <c r="F6">
        <v>5720376</v>
      </c>
      <c r="G6">
        <v>68774</v>
      </c>
      <c r="H6">
        <v>34269.629999999997</v>
      </c>
      <c r="I6" s="1" t="s">
        <v>33</v>
      </c>
      <c r="J6" s="1" t="s">
        <v>34</v>
      </c>
      <c r="K6">
        <v>160.88999999999999</v>
      </c>
      <c r="L6">
        <v>3.29</v>
      </c>
      <c r="M6" s="1" t="s">
        <v>35</v>
      </c>
    </row>
    <row r="7" spans="1:13">
      <c r="A7" s="1" t="s">
        <v>36</v>
      </c>
      <c r="B7" s="1" t="s">
        <v>37</v>
      </c>
      <c r="C7">
        <v>268</v>
      </c>
      <c r="D7">
        <v>8</v>
      </c>
      <c r="E7">
        <v>539.88</v>
      </c>
      <c r="F7">
        <v>6660323</v>
      </c>
      <c r="G7">
        <v>7907</v>
      </c>
      <c r="H7">
        <v>16598.54</v>
      </c>
      <c r="I7" s="1" t="s">
        <v>38</v>
      </c>
      <c r="J7" s="1" t="s">
        <v>39</v>
      </c>
      <c r="K7">
        <v>2074.8200000000002</v>
      </c>
      <c r="L7">
        <v>2.99</v>
      </c>
      <c r="M7" s="1" t="s">
        <v>40</v>
      </c>
    </row>
    <row r="8" spans="1:13">
      <c r="A8" s="1" t="s">
        <v>41</v>
      </c>
      <c r="B8" s="1" t="s">
        <v>42</v>
      </c>
      <c r="C8">
        <v>3511</v>
      </c>
      <c r="D8">
        <v>345</v>
      </c>
      <c r="E8">
        <v>14472.8</v>
      </c>
      <c r="F8">
        <v>0</v>
      </c>
      <c r="G8">
        <v>0</v>
      </c>
      <c r="H8">
        <v>0</v>
      </c>
      <c r="I8" s="1" t="s">
        <v>43</v>
      </c>
      <c r="J8" s="1" t="s">
        <v>43</v>
      </c>
      <c r="K8">
        <v>0</v>
      </c>
      <c r="L8">
        <v>9.83</v>
      </c>
      <c r="M8" s="1" t="s">
        <v>43</v>
      </c>
    </row>
    <row r="9" spans="1:13">
      <c r="A9" s="1" t="s">
        <v>44</v>
      </c>
      <c r="B9" s="1" t="s">
        <v>42</v>
      </c>
      <c r="C9">
        <v>1063</v>
      </c>
      <c r="D9">
        <v>212</v>
      </c>
      <c r="E9">
        <v>9475.56</v>
      </c>
      <c r="F9">
        <v>0</v>
      </c>
      <c r="G9">
        <v>0</v>
      </c>
      <c r="H9">
        <v>0</v>
      </c>
      <c r="I9" s="1" t="s">
        <v>43</v>
      </c>
      <c r="J9" s="1" t="s">
        <v>43</v>
      </c>
      <c r="K9">
        <v>0</v>
      </c>
      <c r="L9">
        <v>19.940000000000001</v>
      </c>
      <c r="M9" s="1" t="s">
        <v>43</v>
      </c>
    </row>
    <row r="10" spans="1:13">
      <c r="A10" s="1"/>
      <c r="B10" s="1"/>
      <c r="H10">
        <f>SUM(H2:H9)</f>
        <v>125806.46000000002</v>
      </c>
      <c r="I10" s="1"/>
      <c r="J10" s="1"/>
      <c r="M1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976AE-B470-4990-B329-8C5751CDFAAE}">
  <dimension ref="A1:J4"/>
  <sheetViews>
    <sheetView workbookViewId="0">
      <selection activeCell="D30" sqref="D30"/>
    </sheetView>
  </sheetViews>
  <sheetFormatPr defaultRowHeight="14.4"/>
  <cols>
    <col min="7" max="7" width="11" bestFit="1" customWidth="1"/>
    <col min="10" max="10" width="12.5546875" bestFit="1" customWidth="1"/>
  </cols>
  <sheetData>
    <row r="1" spans="1:10">
      <c r="A1" s="2" t="s">
        <v>45</v>
      </c>
    </row>
    <row r="2" spans="1:10">
      <c r="C2" s="2"/>
    </row>
    <row r="3" spans="1:10">
      <c r="A3" s="3" t="s">
        <v>46</v>
      </c>
      <c r="B3" s="3"/>
      <c r="D3" s="3" t="s">
        <v>47</v>
      </c>
      <c r="E3" s="3"/>
      <c r="G3" s="3" t="s">
        <v>48</v>
      </c>
      <c r="H3" s="3"/>
      <c r="J3" s="3" t="s">
        <v>49</v>
      </c>
    </row>
    <row r="4" spans="1:10">
      <c r="A4" s="3">
        <f>SUM(Analysis_Data!C2:C9)</f>
        <v>18840</v>
      </c>
      <c r="B4" s="3"/>
      <c r="D4" s="3">
        <f>SUM(Analysis_Data!D2:D9)</f>
        <v>2255</v>
      </c>
      <c r="E4" s="3"/>
      <c r="G4" s="4">
        <f>SUM(Analysis_Data!E2:E9)</f>
        <v>93392.27</v>
      </c>
      <c r="H4" s="3"/>
      <c r="J4" s="4">
        <f>SUM(Analysis_Data!H2:H9)</f>
        <v>125806.46000000002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DAFE6B-B49E-4183-88C3-07E9047162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Salokhe</dc:creator>
  <cp:lastModifiedBy>Vaishnavi Salokhe</cp:lastModifiedBy>
  <dcterms:created xsi:type="dcterms:W3CDTF">2026-10-08T16:34:35Z</dcterms:created>
  <dcterms:modified xsi:type="dcterms:W3CDTF">2026-10-09T11:18:51Z</dcterms:modified>
</cp:coreProperties>
</file>